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ia\Documents\sistemas motorsport\sistema_pneus\"/>
    </mc:Choice>
  </mc:AlternateContent>
  <xr:revisionPtr revIDLastSave="0" documentId="13_ncr:1_{0CE08E52-62A6-458A-A31F-626B4C707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astro de Pneus" sheetId="1" r:id="rId1"/>
    <sheet name="Medi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  <c r="J3" i="2" a="1"/>
  <c r="J3" i="2" s="1"/>
  <c r="K3" i="2" s="1"/>
  <c r="R3" i="2" s="1" a="1"/>
  <c r="R3" i="2" s="1"/>
  <c r="S3" i="2" s="1"/>
  <c r="J4" i="2" a="1"/>
  <c r="J4" i="2" s="1"/>
  <c r="K4" i="2" s="1"/>
  <c r="R4" i="2" s="1" a="1"/>
  <c r="R4" i="2" s="1"/>
  <c r="S4" i="2" s="1"/>
  <c r="J5" i="2" a="1"/>
  <c r="J5" i="2" s="1"/>
  <c r="J6" i="2" a="1"/>
  <c r="J6" i="2" s="1"/>
  <c r="K6" i="2" s="1"/>
  <c r="R6" i="2" s="1" a="1"/>
  <c r="R6" i="2" s="1"/>
  <c r="S6" i="2" s="1"/>
  <c r="J2" i="2" a="1"/>
  <c r="J2" i="2" s="1"/>
  <c r="K2" i="2" s="1"/>
  <c r="R2" i="2" s="1" a="1"/>
  <c r="R2" i="2" s="1"/>
  <c r="S2" i="2" s="1"/>
  <c r="P4" i="2"/>
  <c r="Q4" i="2" s="1" a="1"/>
  <c r="Q4" i="2" s="1"/>
  <c r="P3" i="2"/>
  <c r="Q3" i="2" s="1" a="1"/>
  <c r="Q3" i="2" s="1"/>
  <c r="P5" i="2"/>
  <c r="Q5" i="2" s="1" a="1"/>
  <c r="Q5" i="2" s="1"/>
  <c r="P6" i="2"/>
  <c r="Q6" i="2" s="1" a="1"/>
  <c r="Q6" i="2" s="1"/>
  <c r="P2" i="2"/>
  <c r="Q2" i="2" s="1" a="1"/>
  <c r="Q2" i="2" s="1"/>
  <c r="K5" i="2" l="1"/>
  <c r="R5" i="2" s="1" a="1"/>
  <c r="R5" i="2" s="1"/>
  <c r="S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<sst xmlns="http://schemas.openxmlformats.org/spreadsheetml/2006/main" count="72" uniqueCount="49">
  <si>
    <t>PNEU001</t>
  </si>
  <si>
    <t>PNEU002</t>
  </si>
  <si>
    <t>PNEU003</t>
  </si>
  <si>
    <t>PNEU004</t>
  </si>
  <si>
    <t>PNEU005</t>
  </si>
  <si>
    <t>Carro A</t>
  </si>
  <si>
    <t>Carro B</t>
  </si>
  <si>
    <t>Carro C</t>
  </si>
  <si>
    <t>Novo</t>
  </si>
  <si>
    <t>Usado</t>
  </si>
  <si>
    <t>12/01/2026</t>
  </si>
  <si>
    <t>10/01/2026</t>
  </si>
  <si>
    <t>08/01/2026</t>
  </si>
  <si>
    <t>14/01/2026</t>
  </si>
  <si>
    <t>Código do Pneu</t>
  </si>
  <si>
    <t>Carro Vinculado</t>
  </si>
  <si>
    <t>Status</t>
  </si>
  <si>
    <t>Profundidade Inicial (mm)</t>
  </si>
  <si>
    <t>Data Cadastro</t>
  </si>
  <si>
    <t>Data Medição</t>
  </si>
  <si>
    <t>Interno (mm)</t>
  </si>
  <si>
    <t>Centro Interno (mm)</t>
  </si>
  <si>
    <t>Centro Externo (mm)</t>
  </si>
  <si>
    <t>Externo (mm)</t>
  </si>
  <si>
    <t>Profundidade Média (mm)</t>
  </si>
  <si>
    <t>Treino</t>
  </si>
  <si>
    <t>Carro</t>
  </si>
  <si>
    <t>Tipo Evento</t>
  </si>
  <si>
    <t>Tempo Pista (min)</t>
  </si>
  <si>
    <t>Nome do Pneu</t>
  </si>
  <si>
    <t>Código de Barras</t>
  </si>
  <si>
    <t>Limite KM</t>
  </si>
  <si>
    <t>Corrida</t>
  </si>
  <si>
    <t>Qualy</t>
  </si>
  <si>
    <t>Pista</t>
  </si>
  <si>
    <t>Quilometragem</t>
  </si>
  <si>
    <t>Voltas</t>
  </si>
  <si>
    <t>Condição (twi)</t>
  </si>
  <si>
    <t>Condição (km)</t>
  </si>
  <si>
    <t>Interlagos</t>
  </si>
  <si>
    <t>Brasília</t>
  </si>
  <si>
    <t>Cuiabá</t>
  </si>
  <si>
    <t>Campo Grande</t>
  </si>
  <si>
    <t>Velocita</t>
  </si>
  <si>
    <t>Quilometragem Atual</t>
  </si>
  <si>
    <t>Quilometragem atual</t>
  </si>
  <si>
    <t>KM TOTAL</t>
  </si>
  <si>
    <t>USADO</t>
  </si>
  <si>
    <t>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</si>
</sst>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auto="1"/>
      </font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7904445584368376E-2"/>
          <c:y val="0.13467592592592592"/>
          <c:w val="0.90076222556173746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Medições!$A$2</c:f>
              <c:strCache>
                <c:ptCount val="1"/>
                <c:pt idx="0">
                  <c:v>PNEU001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Medições!$L$1:$O$1</c:f>
              <c:strCache>
                <c:ptCount val="4"/>
                <c:pt idx="0">
                  <c:v>Interno (mm)</c:v>
                </c:pt>
                <c:pt idx="1">
                  <c:v>Centro Interno (mm)</c:v>
                </c:pt>
                <c:pt idx="2">
                  <c:v>Centro Externo (mm)</c:v>
                </c:pt>
                <c:pt idx="3">
                  <c:v>Externo (mm)</c:v>
                </c:pt>
              </c:strCache>
            </c:strRef>
          </c:cat>
          <c:val>
            <c:numRef>
              <c:f>Medições!$L$2:$O$2</c:f>
              <c:numCache>
                <c:formatCode>General</c:formatCode>
                <c:ptCount val="4"/>
                <c:pt idx="0">
                  <c:v>8</c:v>
                </c:pt>
                <c:pt idx="1">
                  <c:v>7.5</c:v>
                </c:pt>
                <c:pt idx="2">
                  <c:v>7</c:v>
                </c:pt>
                <c:pt idx="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1-44D5-B10D-AD7389FF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829151"/>
        <c:axId val="666832031"/>
      </c:lineChart>
      <c:catAx>
        <c:axId val="6668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6832031"/>
        <c:crosses val="autoZero"/>
        <c:auto val="1"/>
        <c:lblAlgn val="ctr"/>
        <c:lblOffset val="100"/>
        <c:noMultiLvlLbl val="0"/>
      </c:catAx>
      <c:valAx>
        <c:axId val="66683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682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8</xdr:col>
      <xdr:colOff>85725</xdr:colOff>
      <xdr:row>25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FE4A59A-8053-C6C3-1D83-FBF1F1B05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" sqref="C1:C1048576"/>
    </sheetView>
  </sheetViews>
  <sheetFormatPr defaultRowHeight="15" x14ac:dyDescent="0.25"/>
  <cols>
    <col min="1" max="2" width="16.7109375" customWidth="1"/>
    <col min="3" max="3" width="17.7109375" customWidth="1"/>
    <col min="4" max="4" width="12.7109375" customWidth="1"/>
    <col min="5" max="5" width="20.140625" bestFit="1" customWidth="1"/>
    <col min="6" max="7" width="27.7109375" customWidth="1"/>
    <col min="8" max="8" width="15.7109375" customWidth="1"/>
  </cols>
  <sheetData>
    <row r="1" spans="1:8" x14ac:dyDescent="0.25">
      <c r="A1" t="s">
        <v>29</v>
      </c>
      <c r="B1" t="s">
        <v>30</v>
      </c>
      <c r="C1" t="s">
        <v>15</v>
      </c>
      <c r="D1" t="s">
        <v>16</v>
      </c>
      <c r="E1" t="s">
        <v>45</v>
      </c>
      <c r="F1" t="s">
        <v>17</v>
      </c>
      <c r="G1" s="2" t="s">
        <v>31</v>
      </c>
      <c r="H1" t="s">
        <v>18</v>
      </c>
    </row>
    <row r="2" spans="1:8" x14ac:dyDescent="0.25">
      <c r="A2" t="s">
        <v>0</v>
      </c>
      <c r="B2">
        <v>5646468465</v>
      </c>
      <c r="C2" t="s">
        <v>5</v>
      </c>
      <c r="D2" t="s">
        <v>8</v>
      </c>
      <c r="E2">
        <v>0</v>
      </c>
      <c r="F2" s="1">
        <v>8</v>
      </c>
      <c r="G2" s="1">
        <v>1000</v>
      </c>
      <c r="H2" t="s">
        <v>10</v>
      </c>
    </row>
    <row r="3" spans="1:8" x14ac:dyDescent="0.25">
      <c r="A3" t="s">
        <v>1</v>
      </c>
      <c r="B3">
        <v>5646468465</v>
      </c>
      <c r="C3" t="s">
        <v>5</v>
      </c>
      <c r="D3" t="s">
        <v>8</v>
      </c>
      <c r="E3">
        <v>0</v>
      </c>
      <c r="F3" s="1">
        <v>8</v>
      </c>
      <c r="G3" s="1">
        <v>1000</v>
      </c>
      <c r="H3" t="s">
        <v>10</v>
      </c>
    </row>
    <row r="4" spans="1:8" x14ac:dyDescent="0.25">
      <c r="A4" t="s">
        <v>2</v>
      </c>
      <c r="B4">
        <v>5646468465</v>
      </c>
      <c r="C4" t="s">
        <v>6</v>
      </c>
      <c r="D4" t="s">
        <v>9</v>
      </c>
      <c r="E4">
        <v>105</v>
      </c>
      <c r="F4" s="1">
        <v>4.5</v>
      </c>
      <c r="G4" s="1">
        <v>1000</v>
      </c>
      <c r="H4" t="s">
        <v>11</v>
      </c>
    </row>
    <row r="5" spans="1:8" x14ac:dyDescent="0.25">
      <c r="A5" t="s">
        <v>3</v>
      </c>
      <c r="B5">
        <v>5646468465</v>
      </c>
      <c r="C5" t="s">
        <v>5</v>
      </c>
      <c r="D5" t="s">
        <v>47</v>
      </c>
      <c r="E5">
        <v>500</v>
      </c>
      <c r="F5" s="1">
        <v>1.2</v>
      </c>
      <c r="G5" s="1">
        <v>1000</v>
      </c>
      <c r="H5" t="s">
        <v>12</v>
      </c>
    </row>
    <row r="6" spans="1:8" x14ac:dyDescent="0.25">
      <c r="A6" t="s">
        <v>4</v>
      </c>
      <c r="B6">
        <v>5646468465</v>
      </c>
      <c r="C6" t="s">
        <v>7</v>
      </c>
      <c r="D6" t="s">
        <v>8</v>
      </c>
      <c r="E6">
        <v>0</v>
      </c>
      <c r="F6" s="1">
        <v>8</v>
      </c>
      <c r="G6" s="1">
        <v>1000</v>
      </c>
      <c r="H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"/>
  <sheetViews>
    <sheetView topLeftCell="A12" zoomScale="85" zoomScaleNormal="85" workbookViewId="0">
      <selection sqref="A1:S53"/>
    </sheetView>
  </sheetViews>
  <sheetFormatPr defaultRowHeight="15" x14ac:dyDescent="0.25"/>
  <cols>
    <col min="1" max="1" width="15" style="2" bestFit="1" customWidth="1"/>
    <col min="2" max="2" width="20.42578125" style="2" bestFit="1" customWidth="1"/>
    <col min="3" max="3" width="15.85546875" style="2" bestFit="1" customWidth="1"/>
    <col min="4" max="4" width="7.42578125" style="2" bestFit="1" customWidth="1"/>
    <col min="5" max="5" width="13.140625" style="2" bestFit="1" customWidth="1"/>
    <col min="6" max="6" width="11.42578125" style="2" bestFit="1" customWidth="1"/>
    <col min="7" max="7" width="6.5703125" style="2" bestFit="1" customWidth="1"/>
    <col min="8" max="8" width="17.42578125" style="2" bestFit="1" customWidth="1"/>
    <col min="9" max="9" width="14.140625" style="2" bestFit="1" customWidth="1"/>
    <col min="10" max="10" width="15.140625" style="2" bestFit="1" customWidth="1"/>
    <col min="11" max="11" width="15.140625" style="2" customWidth="1"/>
    <col min="12" max="12" width="12.85546875" style="2" bestFit="1" customWidth="1"/>
    <col min="13" max="13" width="19.5703125" style="2" bestFit="1" customWidth="1"/>
    <col min="14" max="14" width="19.85546875" style="2" bestFit="1" customWidth="1"/>
    <col min="15" max="15" width="13.28515625" style="2" bestFit="1" customWidth="1"/>
    <col min="16" max="16" width="24.85546875" style="2" bestFit="1" customWidth="1"/>
    <col min="17" max="17" width="14" style="2" bestFit="1" customWidth="1"/>
    <col min="18" max="18" width="13.85546875" style="2" bestFit="1" customWidth="1"/>
    <col min="19" max="19" width="29.28515625" style="2" bestFit="1" customWidth="1"/>
    <col min="20" max="20" width="11.7109375" style="2" customWidth="1"/>
    <col min="21" max="16384" width="9.140625" style="2"/>
  </cols>
  <sheetData>
    <row r="1" spans="1:19" x14ac:dyDescent="0.25">
      <c r="A1" s="2" t="s">
        <v>14</v>
      </c>
      <c r="B1" s="2" t="s">
        <v>44</v>
      </c>
      <c r="C1" s="2" t="s">
        <v>30</v>
      </c>
      <c r="D1" s="2" t="s">
        <v>26</v>
      </c>
      <c r="E1" s="2" t="s">
        <v>19</v>
      </c>
      <c r="F1" s="2" t="s">
        <v>27</v>
      </c>
      <c r="G1" s="2" t="s">
        <v>36</v>
      </c>
      <c r="H1" s="2" t="s">
        <v>28</v>
      </c>
      <c r="I1" s="2" t="s">
        <v>34</v>
      </c>
      <c r="J1" s="2" t="s">
        <v>35</v>
      </c>
      <c r="K1" s="2" t="s">
        <v>46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37</v>
      </c>
      <c r="R1" s="2" t="s">
        <v>38</v>
      </c>
      <c r="S1" s="2" t="s">
        <v>48</v>
      </c>
    </row>
    <row r="2" spans="1:19" x14ac:dyDescent="0.25">
      <c r="A2" s="2" t="s">
        <v>0</v>
      </c>
      <c r="B2" s="2">
        <f>'Cadastro de Pneus'!E2</f>
        <v>0</v>
      </c>
      <c r="C2" s="2">
        <v>5646468465</v>
      </c>
      <c r="D2" s="2" t="s">
        <v>5</v>
      </c>
      <c r="E2" s="2" t="s">
        <v>10</v>
      </c>
      <c r="F2" s="2" t="s">
        <v>25</v>
      </c>
      <c r="G2" s="2">
        <v>25</v>
      </c>
      <c r="H2" s="2">
        <v>45</v>
      </c>
      <c r="I2" s="2" t="s">
        <v>39</v>
      </c>
      <c r="J2" s="1" cm="1">
        <f t="array" ref="J2">_xlfn.IFS(I2="Interlagos",G2*4.309,I2="Velocita",G2*3.493,I2="Brasília",G2*5.384,I2="Cuiabá",G2*4.5,I2="Campo Grande",G2*3.443)</f>
        <v>107.72500000000001</v>
      </c>
      <c r="K2" s="1">
        <f>J2+B2</f>
        <v>107.72500000000001</v>
      </c>
      <c r="L2" s="2">
        <v>8</v>
      </c>
      <c r="M2" s="2">
        <v>7.5</v>
      </c>
      <c r="N2" s="2">
        <v>7</v>
      </c>
      <c r="O2" s="2">
        <v>6.9</v>
      </c>
      <c r="P2" s="1">
        <f>SUM(L2:O2)/4</f>
        <v>7.35</v>
      </c>
      <c r="Q2" s="2" t="str" cm="1">
        <f t="array" ref="Q2">_xlfn.IFS(P2&gt;7,"Bom",4&lt;P2&lt;2,"Desgastado",P2&lt;2, "Crítico",7&gt;P2&gt;4,"ok")</f>
        <v>Bom</v>
      </c>
      <c r="R2" s="2" t="str" cm="1">
        <f t="array" ref="R2">_xlfn.IFS(K2&lt;200,"Bom",1000&gt;K2&gt;750,"Desgastado",K2&gt;1000, "Crítico",750&gt;K2&gt;200,"ok")</f>
        <v>Bom</v>
      </c>
      <c r="S2" s="2" t="str">
        <f t="shared" ref="S2:S5" si="0">IFERROR(
  _xlfn.LET(
    _xlpm.valor_twi, IF(Q2="Crítico",0, IF(Q2="Desgastado",2, IF(Q2="ok",4, 5))),
    _xlpm.valor_km, IF(R2="Crítico",0, IF(R2="Desgastado",2, IF(R2="ok",4, 5))),
    _xlpm.media_ponderada, (_xlpm.valor_twi*0.6 + _xlpm.valor_km*0.4),
    IF(_xlpm.media_ponderada&lt;1, "DESCARTAR PNEU",
      IF(_xlpm.media_ponderada&lt;2.5, "PRÓXIMO DO FIM",
        IF(_xlpm.media_ponderada&lt;4, "MÉDIO DESGASTE", "PRÓXIMA ETAPA")
      )
    )
  ),
  "Erro"
)</f>
        <v>PRÓXIMA ETAPA</v>
      </c>
    </row>
    <row r="3" spans="1:19" x14ac:dyDescent="0.25">
      <c r="A3" s="2" t="s">
        <v>1</v>
      </c>
      <c r="B3" s="2">
        <f>'Cadastro de Pneus'!E3</f>
        <v>0</v>
      </c>
      <c r="C3" s="2">
        <v>5646468465</v>
      </c>
      <c r="D3" s="2" t="s">
        <v>5</v>
      </c>
      <c r="E3" s="2" t="s">
        <v>10</v>
      </c>
      <c r="F3" s="2" t="s">
        <v>32</v>
      </c>
      <c r="G3" s="2">
        <v>35</v>
      </c>
      <c r="H3" s="2">
        <v>62</v>
      </c>
      <c r="I3" s="2" t="s">
        <v>43</v>
      </c>
      <c r="J3" s="1" cm="1">
        <f t="array" ref="J3">_xlfn.IFS(I3="Interlagos",G3*4.309,I3="Velocita",G3*3.493,I3="Brasília",G3*5.384,I3="Cuiabá",G3*4.5,I3="Campo Grande",G3*3.443)</f>
        <v>122.255</v>
      </c>
      <c r="K3" s="1">
        <f t="shared" ref="K3:K6" si="1">J3+B3</f>
        <v>122.255</v>
      </c>
      <c r="L3" s="2">
        <v>8</v>
      </c>
      <c r="M3" s="2">
        <v>8</v>
      </c>
      <c r="N3" s="2">
        <v>8</v>
      </c>
      <c r="O3" s="2">
        <v>7.9</v>
      </c>
      <c r="P3" s="1">
        <f>SUM(L3:O3)/4</f>
        <v>7.9749999999999996</v>
      </c>
      <c r="Q3" s="2" t="str" cm="1">
        <f t="array" ref="Q3">_xlfn.IFS(P3&gt;7,"Bom",4&lt;P3&lt;2,"Desgastado",P3&lt;2, "Crítico",7&gt;P3&gt;4,"ok")</f>
        <v>Bom</v>
      </c>
      <c r="R3" s="2" t="str" cm="1">
        <f t="array" ref="R3">_xlfn.IFS(K3&lt;200,"Bom",1000&gt;K3&gt;750,"Desgastado",K3&gt;1000, "Crítico",750&gt;K3&gt;200,"ok")</f>
        <v>Bom</v>
      </c>
      <c r="S3" s="2" t="str">
        <f t="shared" si="0"/>
        <v>PRÓXIMA ETAPA</v>
      </c>
    </row>
    <row r="4" spans="1:19" x14ac:dyDescent="0.25">
      <c r="A4" s="2" t="s">
        <v>2</v>
      </c>
      <c r="B4" s="2">
        <f>'Cadastro de Pneus'!E4</f>
        <v>105</v>
      </c>
      <c r="C4" s="2">
        <v>5646468465</v>
      </c>
      <c r="D4" s="2" t="s">
        <v>5</v>
      </c>
      <c r="E4" s="2" t="s">
        <v>11</v>
      </c>
      <c r="F4" s="2" t="s">
        <v>33</v>
      </c>
      <c r="G4" s="2">
        <v>25</v>
      </c>
      <c r="H4" s="2">
        <v>45</v>
      </c>
      <c r="I4" s="2" t="s">
        <v>40</v>
      </c>
      <c r="J4" s="1" cm="1">
        <f t="array" ref="J4">_xlfn.IFS(I4="Interlagos",G4*4.309,I4="Velocita",G4*3.493,I4="Brasília",G4*5.384,I4="Cuiabá",G4*4.5,I4="Campo Grande",G4*3.443)</f>
        <v>134.60000000000002</v>
      </c>
      <c r="K4" s="1">
        <f t="shared" si="1"/>
        <v>239.60000000000002</v>
      </c>
      <c r="L4" s="2">
        <v>4.5999999999999996</v>
      </c>
      <c r="M4" s="2">
        <v>4.5</v>
      </c>
      <c r="N4" s="2">
        <v>4.4000000000000004</v>
      </c>
      <c r="O4" s="2">
        <v>4.5</v>
      </c>
      <c r="P4" s="1">
        <f>SUM(L4:O4)/4</f>
        <v>4.5</v>
      </c>
      <c r="Q4" s="2" t="str" cm="1">
        <f t="array" ref="Q4">_xlfn.IFS(P4&gt;7,"Bom",4&lt;P4&lt;2,"Desgastado",P4&lt;2, "Crítico",7&gt;P4&gt;4,"ok")</f>
        <v>ok</v>
      </c>
      <c r="R4" s="2" t="str" cm="1">
        <f t="array" ref="R4">_xlfn.IFS(K4&lt;200,"Bom",1000&gt;K4&gt;750,"Desgastado",K4&gt;1000, "Crítico",750&gt;K4&gt;200,"ok")</f>
        <v>Desgastado</v>
      </c>
      <c r="S4" s="2" t="str">
        <f t="shared" si="0"/>
        <v>MÉDIO DESGASTE</v>
      </c>
    </row>
    <row r="5" spans="1:19" x14ac:dyDescent="0.25">
      <c r="A5" s="2" t="s">
        <v>3</v>
      </c>
      <c r="B5" s="2">
        <f>'Cadastro de Pneus'!E5</f>
        <v>500</v>
      </c>
      <c r="C5" s="2">
        <v>5646468465</v>
      </c>
      <c r="D5" s="2" t="s">
        <v>6</v>
      </c>
      <c r="E5" s="2" t="s">
        <v>12</v>
      </c>
      <c r="F5" s="2" t="s">
        <v>25</v>
      </c>
      <c r="G5" s="2">
        <v>25</v>
      </c>
      <c r="H5" s="2">
        <v>71</v>
      </c>
      <c r="I5" s="2" t="s">
        <v>41</v>
      </c>
      <c r="J5" s="1" cm="1">
        <f t="array" ref="J5">_xlfn.IFS(I5="Interlagos",G5*4.309,I5="Velocita",G5*3.493,I5="Brasília",G5*5.384,I5="Cuiabá",G5*4.5,I5="Campo Grande",G5*3.443)</f>
        <v>112.5</v>
      </c>
      <c r="K5" s="1">
        <f t="shared" si="1"/>
        <v>612.5</v>
      </c>
      <c r="L5" s="2">
        <v>1.2</v>
      </c>
      <c r="M5" s="2">
        <v>1.2</v>
      </c>
      <c r="N5" s="2">
        <v>1.2</v>
      </c>
      <c r="O5" s="2">
        <v>1.1000000000000001</v>
      </c>
      <c r="P5" s="1">
        <f t="shared" ref="P5:P6" si="2">SUM(L5:O5)/4</f>
        <v>1.1749999999999998</v>
      </c>
      <c r="Q5" s="2" t="str" cm="1">
        <f t="array" ref="Q5">_xlfn.IFS(P5&gt;7,"Bom",4&lt;P5&lt;2,"Desgastado",P5&lt;2, "Crítico",7&gt;P5&gt;4,"ok")</f>
        <v>Crítico</v>
      </c>
      <c r="R5" s="2" t="str" cm="1">
        <f t="array" ref="R5">_xlfn.IFS(K5&lt;200,"Bom",1000&gt;K5&gt;750,"Desgastado",K5&gt;1000, "Crítico",750&gt;K5&gt;200,"ok")</f>
        <v>Desgastado</v>
      </c>
      <c r="S5" s="2" t="str">
        <f t="shared" si="0"/>
        <v>DESCARTAR PNEU</v>
      </c>
    </row>
    <row r="6" spans="1:19" x14ac:dyDescent="0.25">
      <c r="A6" s="2" t="s">
        <v>4</v>
      </c>
      <c r="B6" s="2">
        <f>'Cadastro de Pneus'!E6</f>
        <v>0</v>
      </c>
      <c r="C6" s="2">
        <v>5646468465</v>
      </c>
      <c r="D6" s="2" t="s">
        <v>6</v>
      </c>
      <c r="E6" s="2" t="s">
        <v>13</v>
      </c>
      <c r="F6" s="2" t="s">
        <v>32</v>
      </c>
      <c r="G6" s="2">
        <v>30</v>
      </c>
      <c r="H6" s="2">
        <v>53</v>
      </c>
      <c r="I6" s="2" t="s">
        <v>42</v>
      </c>
      <c r="J6" s="1" cm="1">
        <f t="array" ref="J6">_xlfn.IFS(I6="Interlagos",G6*4.309,I6="Velocita",G6*3.493,I6="Brasília",G6*5.384,I6="Cuiabá",G6*4.5,I6="Campo Grande",G6*3.443)</f>
        <v>103.29</v>
      </c>
      <c r="K6" s="1">
        <f t="shared" si="1"/>
        <v>103.29</v>
      </c>
      <c r="L6" s="2">
        <v>8</v>
      </c>
      <c r="M6" s="2">
        <v>8</v>
      </c>
      <c r="N6" s="2">
        <v>8</v>
      </c>
      <c r="O6" s="2">
        <v>8</v>
      </c>
      <c r="P6" s="1">
        <f t="shared" si="2"/>
        <v>8</v>
      </c>
      <c r="Q6" s="2" t="str" cm="1">
        <f t="array" ref="Q6">_xlfn.IFS(P6&gt;7,"Bom",4&lt;P6&lt;2,"Desgastado",P6&lt;2, "Crítico",7&gt;P6&gt;4,"ok")</f>
        <v>Bom</v>
      </c>
      <c r="R6" s="2" t="str" cm="1">
        <f t="array" ref="R6">_xlfn.IFS(K6&lt;200,"Bom",1000&gt;K6&gt;750,"Desgastado",K6&gt;1000, "Crítico",750&gt;K6&gt;200,"ok")</f>
        <v>Bom</v>
      </c>
      <c r="S6" s="2" t="str">
        <f>IFERROR(
  _xlfn.LET(
    _xlpm.valor_twi, IF(Q6="Crítico",0, IF(Q6="Desgastado",2, IF(Q6="ok",4, 5))),
    _xlpm.valor_km, IF(R6="Crítico",0, IF(R6="Desgastado",2, IF(R6="ok",4, 5))),
    _xlpm.media_ponderada, (_xlpm.valor_twi*0.6 + _xlpm.valor_km*0.4),
    IF(_xlpm.media_ponderada&lt;1, "DESCARTAR PNEU",
      IF(_xlpm.media_ponderada&lt;2.5, "PRÓXIMO DO FIM",
        IF(_xlpm.media_ponderada&lt;4, "MÉDIO DESGASTE", "PRÓXIMA ETAPA")
      )
    )
  ),
  "Erro"
)</f>
        <v>PRÓXIMA ETAPA</v>
      </c>
    </row>
  </sheetData>
  <conditionalFormatting sqref="S1:S6">
    <cfRule type="cellIs" dxfId="2" priority="1" operator="equal">
      <formula>"DESCARTAR PNEU"</formula>
    </cfRule>
  </conditionalFormatting>
  <conditionalFormatting sqref="S2:S6">
    <cfRule type="cellIs" dxfId="1" priority="2" operator="equal">
      <formula>"MÉDIO DESGASTE"</formula>
    </cfRule>
    <cfRule type="cellIs" dxfId="0" priority="3" operator="equal">
      <formula>"PRÓXIMA ETAPA"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 de Pneus</vt:lpstr>
      <vt:lpstr>Medições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Brenda Farias</cp:lastModifiedBy>
  <dcterms:created xsi:type="dcterms:W3CDTF">2026-01-15T12:15:03Z</dcterms:created>
  <dcterms:modified xsi:type="dcterms:W3CDTF">2026-01-15T13:59:44Z</dcterms:modified>
</cp:coreProperties>
</file>